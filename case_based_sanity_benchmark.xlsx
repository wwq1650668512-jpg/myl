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Cases" sheetId="2" state="visible" r:id="rId2"/>
    <sheet name="Assertions" sheetId="3" state="visible" r:id="rId3"/>
    <sheet name="Results" sheetId="4" state="visible" r:id="rId4"/>
    <sheet name="Summary" sheetId="5" state="visible" r:id="rId5"/>
    <sheet name="Codex_Prompt_Snippet" sheetId="6" state="visible" r:id="rId6"/>
  </sheets>
  <definedNames/>
  <calcPr calcId="124519" fullCalcOnLoad="1"/>
</workbook>
</file>

<file path=xl/styles.xml><?xml version="1.0" encoding="utf-8"?>
<styleSheet xmlns="http://schemas.openxmlformats.org/spreadsheetml/2006/main">
  <numFmts count="1">
    <numFmt numFmtId="164" formatCode="0.0%"/>
  </numFmts>
  <fonts count="6">
    <font>
      <name val="Calibri"/>
      <family val="2"/>
      <color theme="1"/>
      <sz val="11"/>
      <scheme val="minor"/>
    </font>
    <font>
      <b val="1"/>
      <sz val="16"/>
    </font>
    <font>
      <b val="1"/>
    </font>
    <font>
      <b val="1"/>
      <color rgb="00FFFFFF"/>
    </font>
    <font>
      <b val="1"/>
      <sz val="15"/>
    </font>
    <font>
      <b val="1"/>
      <sz val="14"/>
    </font>
  </fonts>
  <fills count="10">
    <fill>
      <patternFill/>
    </fill>
    <fill>
      <patternFill patternType="gray125"/>
    </fill>
    <fill>
      <patternFill patternType="solid">
        <fgColor rgb="00D9EAF7"/>
      </patternFill>
    </fill>
    <fill>
      <patternFill patternType="solid">
        <fgColor rgb="00E7E6E6"/>
      </patternFill>
    </fill>
    <fill>
      <patternFill patternType="solid">
        <fgColor rgb="00E4DFEC"/>
      </patternFill>
    </fill>
    <fill>
      <patternFill patternType="solid">
        <fgColor rgb="00E2F0D9"/>
      </patternFill>
    </fill>
    <fill>
      <patternFill patternType="solid">
        <fgColor rgb="00FDE9E7"/>
      </patternFill>
    </fill>
    <fill>
      <patternFill patternType="solid">
        <fgColor rgb="00FFF2CC"/>
      </patternFill>
    </fill>
    <fill>
      <patternFill patternType="solid">
        <fgColor rgb="001F4E78"/>
      </patternFill>
    </fill>
    <fill>
      <patternFill patternType="solid">
        <fgColor rgb="00F7FBFF"/>
      </patternFill>
    </fill>
  </fills>
  <borders count="2">
    <border>
      <left/>
      <right/>
      <top/>
      <bottom/>
      <diagonal/>
    </border>
    <border>
      <left style="thin">
        <color rgb="00C9C9C9"/>
      </left>
      <right style="thin">
        <color rgb="00C9C9C9"/>
      </right>
      <top style="thin">
        <color rgb="00C9C9C9"/>
      </top>
      <bottom style="thin">
        <color rgb="00C9C9C9"/>
      </bottom>
    </border>
  </borders>
  <cellStyleXfs count="1">
    <xf numFmtId="0" fontId="0" fillId="0" borderId="0"/>
  </cellStyleXfs>
  <cellXfs count="25">
    <xf numFmtId="0" fontId="0" fillId="0" borderId="0" pivotButton="0" quotePrefix="0" xfId="0"/>
    <xf numFmtId="0" fontId="1" fillId="0" borderId="1" applyAlignment="1" pivotButton="0" quotePrefix="0" xfId="0">
      <alignment horizontal="center" vertical="center" wrapText="1"/>
    </xf>
    <xf numFmtId="0" fontId="2" fillId="0" borderId="1" pivotButton="0" quotePrefix="0" xfId="0"/>
    <xf numFmtId="0" fontId="0" fillId="0" borderId="1" applyAlignment="1" pivotButton="0" quotePrefix="0" xfId="0">
      <alignment wrapText="1"/>
    </xf>
    <xf numFmtId="0" fontId="0" fillId="2" borderId="1" pivotButton="0" quotePrefix="0" xfId="0"/>
    <xf numFmtId="0" fontId="0" fillId="0" borderId="1" pivotButton="0" quotePrefix="0" xfId="0"/>
    <xf numFmtId="0" fontId="0" fillId="3" borderId="1" pivotButton="0" quotePrefix="0" xfId="0"/>
    <xf numFmtId="0" fontId="0" fillId="4" borderId="1" pivotButton="0" quotePrefix="0" xfId="0"/>
    <xf numFmtId="0" fontId="0" fillId="5" borderId="1" pivotButton="0" quotePrefix="0" xfId="0"/>
    <xf numFmtId="0" fontId="0" fillId="6" borderId="1" pivotButton="0" quotePrefix="0" xfId="0"/>
    <xf numFmtId="0" fontId="0" fillId="7" borderId="1" pivotButton="0" quotePrefix="0" xfId="0"/>
    <xf numFmtId="0" fontId="3" fillId="8" borderId="1" applyAlignment="1" pivotButton="0" quotePrefix="0" xfId="0">
      <alignment horizontal="center" vertical="center" wrapText="1"/>
    </xf>
    <xf numFmtId="0" fontId="2" fillId="3" borderId="1" applyAlignment="1" pivotButton="0" quotePrefix="0" xfId="0">
      <alignment vertical="top" wrapText="1"/>
    </xf>
    <xf numFmtId="0" fontId="0" fillId="9" borderId="1" applyAlignment="1" pivotButton="0" quotePrefix="0" xfId="0">
      <alignment vertical="top" wrapText="1"/>
    </xf>
    <xf numFmtId="0" fontId="0" fillId="3" borderId="1" applyAlignment="1" pivotButton="0" quotePrefix="0" xfId="0">
      <alignment vertical="top" wrapText="1"/>
    </xf>
    <xf numFmtId="0" fontId="0" fillId="2" borderId="0" applyAlignment="1" pivotButton="0" quotePrefix="0" xfId="0">
      <alignment vertical="top" wrapText="1"/>
    </xf>
    <xf numFmtId="0" fontId="4" fillId="0" borderId="1" applyAlignment="1" pivotButton="0" quotePrefix="0" xfId="0">
      <alignment horizontal="center" vertical="center" wrapText="1"/>
    </xf>
    <xf numFmtId="0" fontId="3" fillId="8" borderId="1" applyAlignment="1" pivotButton="0" quotePrefix="0" xfId="0">
      <alignment vertical="top" wrapText="1"/>
    </xf>
    <xf numFmtId="0" fontId="0" fillId="4" borderId="1" applyAlignment="1" pivotButton="0" quotePrefix="0" xfId="0">
      <alignment vertical="top" wrapText="1"/>
    </xf>
    <xf numFmtId="164" fontId="0" fillId="4" borderId="1" applyAlignment="1" pivotButton="0" quotePrefix="0" xfId="0">
      <alignment vertical="top" wrapText="1"/>
    </xf>
    <xf numFmtId="0" fontId="0" fillId="3" borderId="0" pivotButton="0" quotePrefix="0" xfId="0"/>
    <xf numFmtId="0" fontId="0" fillId="4" borderId="0" pivotButton="0" quotePrefix="0" xfId="0"/>
    <xf numFmtId="0" fontId="2" fillId="0" borderId="1" applyAlignment="1" pivotButton="0" quotePrefix="0" xfId="0">
      <alignment vertical="top" wrapText="1"/>
    </xf>
    <xf numFmtId="0" fontId="0" fillId="0" borderId="1" applyAlignment="1" pivotButton="0" quotePrefix="0" xfId="0">
      <alignment vertical="top" wrapText="1"/>
    </xf>
    <xf numFmtId="0" fontId="5"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comments/comment1.xml><?xml version="1.0" encoding="utf-8"?>
<comments xmlns="http://schemas.openxmlformats.org/spreadsheetml/2006/main">
  <authors>
    <author>OpenAI</author>
  </authors>
  <commentList>
    <comment ref="E1" authorId="0" shapeId="0">
      <text>
        <t>Examples: raw disease scores, ranks, or raw-only model artifacts.</t>
      </text>
    </comment>
    <comment ref="F1" authorId="0" shapeId="0">
      <text>
        <t>Examples: mechanism-layer channels, ecological penalties, top contributors.</t>
      </text>
    </comment>
    <comment ref="H1" authorId="0" shapeId="0">
      <text>
        <t>Use PASS / PARTIAL / FAIL / NA based on the fixed benchmark assertion.</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18" customWidth="1" min="1" max="1"/>
    <col width="22" customWidth="1" min="2" max="2"/>
    <col width="22" customWidth="1" min="3" max="3"/>
    <col width="18" customWidth="1" min="4" max="4"/>
    <col width="18" customWidth="1" min="5" max="5"/>
    <col width="18" customWidth="1" min="6" max="6"/>
    <col width="18" customWidth="1" min="7" max="7"/>
    <col width="18" customWidth="1" min="8" max="8"/>
    <col width="18" customWidth="1" min="9" max="9"/>
  </cols>
  <sheetData>
    <row r="1">
      <c r="A1" s="1" t="inlineStr">
        <is>
          <t>Case-based Sanity Benchmark Workbook</t>
        </is>
      </c>
    </row>
    <row r="3">
      <c r="A3" s="2" t="inlineStr">
        <is>
          <t>Purpose</t>
        </is>
      </c>
      <c r="B3" s="3" t="inlineStr">
        <is>
          <t>Define fixed reality-based benchmark cases for Codex / evaluation scripts so model changes are judged by factual alignment, not only by rank movement.</t>
        </is>
      </c>
    </row>
    <row r="5">
      <c r="A5" s="2" t="inlineStr">
        <is>
          <t>How to use</t>
        </is>
      </c>
    </row>
    <row r="6">
      <c r="B6" s="3" t="inlineStr">
        <is>
          <t>1. Maintain the benchmark cases in the Cases sheet as the source of truth.</t>
        </is>
      </c>
    </row>
    <row r="7">
      <c r="B7" s="3" t="inlineStr">
        <is>
          <t>2. Encode machine-readable assertions in the Assertions sheet.</t>
        </is>
      </c>
    </row>
    <row r="8">
      <c r="B8" s="3" t="inlineStr">
        <is>
          <t>3. Have Codex export one row per assertion to the Results sheet.</t>
        </is>
      </c>
    </row>
    <row r="9">
      <c r="B9" s="3" t="inlineStr">
        <is>
          <t>4. Use Summary to track pass/fail counts across model versions.</t>
        </is>
      </c>
    </row>
    <row r="10">
      <c r="B10" s="3" t="inlineStr">
        <is>
          <t>5. Prefer case-based factual checks over aggregate score changes only.</t>
        </is>
      </c>
    </row>
    <row r="12">
      <c r="A12" s="2" t="inlineStr">
        <is>
          <t>Color legend</t>
        </is>
      </c>
    </row>
    <row r="13">
      <c r="A13" s="4" t="inlineStr">
        <is>
          <t>Blue fill</t>
        </is>
      </c>
      <c r="B13" s="5" t="inlineStr">
        <is>
          <t>User / reviewer inputs</t>
        </is>
      </c>
    </row>
    <row r="14">
      <c r="A14" s="6" t="inlineStr">
        <is>
          <t>Gray fill</t>
        </is>
      </c>
      <c r="B14" s="5" t="inlineStr">
        <is>
          <t>Static benchmark definitions</t>
        </is>
      </c>
    </row>
    <row r="15">
      <c r="A15" s="7" t="inlineStr">
        <is>
          <t>Purple fill</t>
        </is>
      </c>
      <c r="B15" s="5" t="inlineStr">
        <is>
          <t>Logic / formulas / derived summary</t>
        </is>
      </c>
    </row>
    <row r="16">
      <c r="A16" s="8" t="inlineStr">
        <is>
          <t>Green fill</t>
        </is>
      </c>
      <c r="B16" s="5" t="inlineStr">
        <is>
          <t>Pass / acceptable</t>
        </is>
      </c>
    </row>
    <row r="17">
      <c r="A17" s="9" t="inlineStr">
        <is>
          <t>Light red fill</t>
        </is>
      </c>
      <c r="B17" s="5" t="inlineStr">
        <is>
          <t>Fail / needs review</t>
        </is>
      </c>
    </row>
    <row r="18">
      <c r="A18" s="10" t="inlineStr">
        <is>
          <t>Yellow fill</t>
        </is>
      </c>
      <c r="B18" s="5" t="inlineStr">
        <is>
          <t>Caution / partial alignment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8" defaultRowHeight="15"/>
  <cols>
    <col width="16" customWidth="1" min="1" max="1"/>
    <col width="42" customWidth="1" min="2" max="2"/>
    <col width="36" customWidth="1" min="3" max="3"/>
    <col width="38" customWidth="1" min="4" max="4"/>
    <col width="12" customWidth="1" min="5" max="5"/>
    <col width="38" customWidth="1" min="6" max="6"/>
    <col width="32" customWidth="1" min="7" max="7"/>
  </cols>
  <sheetData>
    <row r="1">
      <c r="A1" s="11" t="inlineStr">
        <is>
          <t>Drug</t>
        </is>
      </c>
      <c r="B1" s="11" t="inlineStr">
        <is>
          <t>Clinical / ecological reality anchor</t>
        </is>
      </c>
      <c r="C1" s="11" t="inlineStr">
        <is>
          <t>Should generally look like</t>
        </is>
      </c>
      <c r="D1" s="11" t="inlineStr">
        <is>
          <t>Should generally NOT look like</t>
        </is>
      </c>
      <c r="E1" s="11" t="inlineStr">
        <is>
          <t>Priority</t>
        </is>
      </c>
      <c r="F1" s="11" t="inlineStr">
        <is>
          <t>Why it matters</t>
        </is>
      </c>
      <c r="G1" s="11" t="inlineStr">
        <is>
          <t>Evidence / notes</t>
        </is>
      </c>
    </row>
    <row r="2">
      <c r="A2" s="12" t="inlineStr">
        <is>
          <t>Rifaximin</t>
        </is>
      </c>
      <c r="B2" s="13" t="inlineStr">
        <is>
          <t>IBS-D signal should be stronger than many inflammatory-disease claims; microbiome effect is better framed as eubiotic modulation.</t>
        </is>
      </c>
      <c r="C2" s="13" t="inlineStr">
        <is>
          <t>A gut-selective, modulation-oriented drug with limited apparent harm to core butyrate producers.</t>
        </is>
      </c>
      <c r="D2" s="13" t="inlineStr">
        <is>
          <t>A broad indiscriminate depleter of Faecalibacterium / Roseburia / Eubacterium.</t>
        </is>
      </c>
      <c r="E2" s="12" t="inlineStr">
        <is>
          <t>High</t>
        </is>
      </c>
      <c r="F2" s="13" t="inlineStr">
        <is>
          <t>This is the clearest sanity check that the model distinguishes eubiotic modulation from strong ecosystem disruption.</t>
        </is>
      </c>
      <c r="G2" s="13" t="inlineStr">
        <is>
          <t>Use IBS-D, butyrate-producer preservation, and ecological-risk penalties as primary checks.</t>
        </is>
      </c>
    </row>
    <row r="3">
      <c r="A3" s="12" t="inlineStr">
        <is>
          <t>Vancomycin</t>
        </is>
      </c>
      <c r="B3" s="13" t="inlineStr">
        <is>
          <t>Should incur strong ecological-disruption penalties and should not appear broadly beneficial across many diseases.</t>
        </is>
      </c>
      <c r="C3" s="13" t="inlineStr">
        <is>
          <t>A disruptive antibiotic with notable microbiome-risk flags.</t>
        </is>
      </c>
      <c r="D3" s="13" t="inlineStr">
        <is>
          <t>A general-purpose positive treatment signal, especially not strong for Crohn disease.</t>
        </is>
      </c>
      <c r="E3" s="12" t="inlineStr">
        <is>
          <t>High</t>
        </is>
      </c>
      <c r="F3" s="13" t="inlineStr">
        <is>
          <t>Distinguishes true antibiotic perturbation from clinically useful modulation.</t>
        </is>
      </c>
      <c r="G3" s="13" t="inlineStr">
        <is>
          <t>CD should not receive a strong positive signal.</t>
        </is>
      </c>
    </row>
    <row r="4">
      <c r="A4" s="12" t="inlineStr">
        <is>
          <t>Lubiprostone</t>
        </is>
      </c>
      <c r="B4" s="13" t="inlineStr">
        <is>
          <t>Should behave like a host-pathway / secretagogue drug, not a microbe-directed antibiotic.</t>
        </is>
      </c>
      <c r="C4" s="13" t="inlineStr">
        <is>
          <t>A host-mechanism therapy with weak or limited direct microbe-effect interpretation.</t>
        </is>
      </c>
      <c r="D4" s="13" t="inlineStr">
        <is>
          <t>A drug whose main value comes from broad antimicrobial action.</t>
        </is>
      </c>
      <c r="E4" s="12" t="inlineStr">
        <is>
          <t>High</t>
        </is>
      </c>
      <c r="F4" s="13" t="inlineStr">
        <is>
          <t>Protects the model from forcing non-antibiotic therapies into antimicrobial templates.</t>
        </is>
      </c>
      <c r="G4" s="13" t="inlineStr">
        <is>
          <t>Useful for drug-ecology priors such as host_secretagogue.</t>
        </is>
      </c>
    </row>
    <row r="5">
      <c r="A5" s="12" t="inlineStr">
        <is>
          <t>Metronidazole</t>
        </is>
      </c>
      <c r="B5" s="13" t="inlineStr">
        <is>
          <t>May show signal in certain gut infection / inflammation contexts, but ecological-risk penalties should remain visible.</t>
        </is>
      </c>
      <c r="C5" s="13" t="inlineStr">
        <is>
          <t>A drug with context-specific usefulness and nontrivial disruption risk.</t>
        </is>
      </c>
      <c r="D5" s="13" t="inlineStr">
        <is>
          <t>A uniformly safe or universally beneficial microbiome intervention.</t>
        </is>
      </c>
      <c r="E5" s="12" t="inlineStr">
        <is>
          <t>High</t>
        </is>
      </c>
      <c r="F5" s="13" t="inlineStr">
        <is>
          <t>Checks that beneficial antimicrobial signals are balanced against ecosystem cost.</t>
        </is>
      </c>
      <c r="G5" s="13" t="inlineStr">
        <is>
          <t>Good for validating risk-benefit tradeoffs rather than raw positive score alone.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0"/>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20" customWidth="1" min="3" max="3"/>
    <col width="24" customWidth="1" min="4" max="4"/>
    <col width="28" customWidth="1" min="5" max="5"/>
    <col width="48" customWidth="1" min="6" max="6"/>
    <col width="12" customWidth="1" min="7" max="7"/>
    <col width="34" customWidth="1" min="8" max="8"/>
    <col width="22" customWidth="1" min="9" max="9"/>
  </cols>
  <sheetData>
    <row r="1">
      <c r="A1" s="11" t="inlineStr">
        <is>
          <t>assertion_id</t>
        </is>
      </c>
      <c r="B1" s="11" t="inlineStr">
        <is>
          <t>Drug</t>
        </is>
      </c>
      <c r="C1" s="11" t="inlineStr">
        <is>
          <t>assertion_type</t>
        </is>
      </c>
      <c r="D1" s="11" t="inlineStr">
        <is>
          <t>Target</t>
        </is>
      </c>
      <c r="E1" s="11" t="inlineStr">
        <is>
          <t>Comparator / scope</t>
        </is>
      </c>
      <c r="F1" s="11" t="inlineStr">
        <is>
          <t>Expected rule</t>
        </is>
      </c>
      <c r="G1" s="11" t="inlineStr">
        <is>
          <t>Severity</t>
        </is>
      </c>
      <c r="H1" s="11" t="inlineStr">
        <is>
          <t>Reviewer rationale</t>
        </is>
      </c>
      <c r="I1" s="11" t="inlineStr">
        <is>
          <t>Source / note</t>
        </is>
      </c>
    </row>
    <row r="2">
      <c r="A2" s="14" t="inlineStr">
        <is>
          <t>RFX_01</t>
        </is>
      </c>
      <c r="B2" s="14" t="inlineStr">
        <is>
          <t>Rifaximin</t>
        </is>
      </c>
      <c r="C2" s="13" t="inlineStr">
        <is>
          <t>rank_preference</t>
        </is>
      </c>
      <c r="D2" s="13" t="inlineStr">
        <is>
          <t>IBS-D</t>
        </is>
      </c>
      <c r="E2" s="13" t="inlineStr">
        <is>
          <t>CD; UC; CRC; broad inflammatory diseases</t>
        </is>
      </c>
      <c r="F2" s="13" t="inlineStr">
        <is>
          <t>IBS-D should rank better than at least most inflammatory comparators, or show a clear relative rise after mechanism layer.</t>
        </is>
      </c>
      <c r="G2" s="14" t="inlineStr">
        <is>
          <t>High</t>
        </is>
      </c>
      <c r="H2" s="13" t="inlineStr">
        <is>
          <t>Tests clinical alignment rather than raw microbe-direction consistency alone.</t>
        </is>
      </c>
      <c r="I2" s="13" t="inlineStr">
        <is>
          <t>User-defined benchmark</t>
        </is>
      </c>
    </row>
    <row r="3">
      <c r="A3" s="14" t="inlineStr">
        <is>
          <t>RFX_02</t>
        </is>
      </c>
      <c r="B3" s="14" t="inlineStr">
        <is>
          <t>Rifaximin</t>
        </is>
      </c>
      <c r="C3" s="13" t="inlineStr">
        <is>
          <t>mechanism_guardrail</t>
        </is>
      </c>
      <c r="D3" s="13" t="inlineStr">
        <is>
          <t>Core butyrate producers</t>
        </is>
      </c>
      <c r="E3" s="13" t="inlineStr">
        <is>
          <t>Faecalibacterium prausnitzii; Roseburia spp.; Eubacterium rectale</t>
        </is>
      </c>
      <c r="F3" s="13" t="inlineStr">
        <is>
          <t>Should not show strong indiscriminate inhibit pattern against core butyrate producers.</t>
        </is>
      </c>
      <c r="G3" s="14" t="inlineStr">
        <is>
          <t>High</t>
        </is>
      </c>
      <c r="H3" s="13" t="inlineStr">
        <is>
          <t>Protects against misclassifying rifaximin as a harsh broad-spectrum depleter.</t>
        </is>
      </c>
      <c r="I3" s="13" t="inlineStr">
        <is>
          <t>User-defined benchmark</t>
        </is>
      </c>
    </row>
    <row r="4">
      <c r="A4" s="14" t="inlineStr">
        <is>
          <t>RFX_03</t>
        </is>
      </c>
      <c r="B4" s="14" t="inlineStr">
        <is>
          <t>Rifaximin</t>
        </is>
      </c>
      <c r="C4" s="13" t="inlineStr">
        <is>
          <t>ecology_profile</t>
        </is>
      </c>
      <c r="D4" s="13" t="inlineStr">
        <is>
          <t>Drug ecology prior</t>
        </is>
      </c>
      <c r="E4" s="13" t="inlineStr">
        <is>
          <t>Global profile</t>
        </is>
      </c>
      <c r="F4" s="13" t="inlineStr">
        <is>
          <t>Profile should be closer to eubiotic_modulator / non-absorbed gut modulator than disruptive_antibiotic.</t>
        </is>
      </c>
      <c r="G4" s="14" t="inlineStr">
        <is>
          <t>Medium</t>
        </is>
      </c>
      <c r="H4" s="13" t="inlineStr">
        <is>
          <t>Useful once drug_ecology_profile is added.</t>
        </is>
      </c>
      <c r="I4" s="13" t="inlineStr">
        <is>
          <t>User-defined benchmark</t>
        </is>
      </c>
    </row>
    <row r="5">
      <c r="A5" s="14" t="inlineStr">
        <is>
          <t>VAN_01</t>
        </is>
      </c>
      <c r="B5" s="14" t="inlineStr">
        <is>
          <t>Vancomycin</t>
        </is>
      </c>
      <c r="C5" s="13" t="inlineStr">
        <is>
          <t>risk_guardrail</t>
        </is>
      </c>
      <c r="D5" s="13" t="inlineStr">
        <is>
          <t>Global disease panel</t>
        </is>
      </c>
      <c r="E5" s="13" t="inlineStr">
        <is>
          <t>All diseases</t>
        </is>
      </c>
      <c r="F5" s="13" t="inlineStr">
        <is>
          <t>Should not emerge as broadly high-benefit across many diseases; ecological-risk penalties should remain prominent.</t>
        </is>
      </c>
      <c r="G5" s="14" t="inlineStr">
        <is>
          <t>High</t>
        </is>
      </c>
      <c r="H5" s="13" t="inlineStr">
        <is>
          <t>Separates strong perturbation from therapeutic specificity.</t>
        </is>
      </c>
      <c r="I5" s="13" t="inlineStr">
        <is>
          <t>User-defined benchmark</t>
        </is>
      </c>
    </row>
    <row r="6">
      <c r="A6" s="14" t="inlineStr">
        <is>
          <t>VAN_02</t>
        </is>
      </c>
      <c r="B6" s="14" t="inlineStr">
        <is>
          <t>Vancomycin</t>
        </is>
      </c>
      <c r="C6" s="13" t="inlineStr">
        <is>
          <t>disease_guardrail</t>
        </is>
      </c>
      <c r="D6" s="13" t="inlineStr">
        <is>
          <t>Crohn disease (CD)</t>
        </is>
      </c>
      <c r="E6" s="13" t="inlineStr">
        <is>
          <t>Single disease</t>
        </is>
      </c>
      <c r="F6" s="13" t="inlineStr">
        <is>
          <t>CD should not receive a strong positive treatment signal.</t>
        </is>
      </c>
      <c r="G6" s="14" t="inlineStr">
        <is>
          <t>High</t>
        </is>
      </c>
      <c r="H6" s="13" t="inlineStr">
        <is>
          <t>Specific known-facts sanity check.</t>
        </is>
      </c>
      <c r="I6" s="13" t="inlineStr">
        <is>
          <t>User-defined benchmark</t>
        </is>
      </c>
    </row>
    <row r="7">
      <c r="A7" s="14" t="inlineStr">
        <is>
          <t>LUB_01</t>
        </is>
      </c>
      <c r="B7" s="14" t="inlineStr">
        <is>
          <t>Lubiprostone</t>
        </is>
      </c>
      <c r="C7" s="13" t="inlineStr">
        <is>
          <t>mechanism_identity</t>
        </is>
      </c>
      <c r="D7" s="13" t="inlineStr">
        <is>
          <t>Drug ecology prior</t>
        </is>
      </c>
      <c r="E7" s="13" t="inlineStr">
        <is>
          <t>Global profile</t>
        </is>
      </c>
      <c r="F7" s="13" t="inlineStr">
        <is>
          <t>Should be classified closer to host_secretagogue / host-pathway drug than antibiotic-like microbe-directed therapy.</t>
        </is>
      </c>
      <c r="G7" s="14" t="inlineStr">
        <is>
          <t>High</t>
        </is>
      </c>
      <c r="H7" s="13" t="inlineStr">
        <is>
          <t>Prevents antimicrobial over-interpretation of host drugs.</t>
        </is>
      </c>
      <c r="I7" s="13" t="inlineStr">
        <is>
          <t>User-defined benchmark</t>
        </is>
      </c>
    </row>
    <row r="8">
      <c r="A8" s="14" t="inlineStr">
        <is>
          <t>LUB_02</t>
        </is>
      </c>
      <c r="B8" s="14" t="inlineStr">
        <is>
          <t>Lubiprostone</t>
        </is>
      </c>
      <c r="C8" s="13" t="inlineStr">
        <is>
          <t>microbe_guardrail</t>
        </is>
      </c>
      <c r="D8" s="13" t="inlineStr">
        <is>
          <t>Direct microbe effects</t>
        </is>
      </c>
      <c r="E8" s="13" t="inlineStr">
        <is>
          <t>All microbes</t>
        </is>
      </c>
      <c r="F8" s="13" t="inlineStr">
        <is>
          <t>Model should not rely on broad direct antimicrobial effects as the main explanation.</t>
        </is>
      </c>
      <c r="G8" s="14" t="inlineStr">
        <is>
          <t>Medium</t>
        </is>
      </c>
      <c r="H8" s="13" t="inlineStr">
        <is>
          <t>Companion check for host-pathway identity.</t>
        </is>
      </c>
      <c r="I8" s="13" t="inlineStr">
        <is>
          <t>User-defined benchmark</t>
        </is>
      </c>
    </row>
    <row r="9">
      <c r="A9" s="14" t="inlineStr">
        <is>
          <t>MTZ_01</t>
        </is>
      </c>
      <c r="B9" s="14" t="inlineStr">
        <is>
          <t>Metronidazole</t>
        </is>
      </c>
      <c r="C9" s="13" t="inlineStr">
        <is>
          <t>contextual_benefit</t>
        </is>
      </c>
      <c r="D9" s="13" t="inlineStr">
        <is>
          <t>Gut infection / inflammation contexts</t>
        </is>
      </c>
      <c r="E9" s="13" t="inlineStr">
        <is>
          <t>Relevant disease subset</t>
        </is>
      </c>
      <c r="F9" s="13" t="inlineStr">
        <is>
          <t>May show positive signals in some gut-related contexts.</t>
        </is>
      </c>
      <c r="G9" s="14" t="inlineStr">
        <is>
          <t>Medium</t>
        </is>
      </c>
      <c r="H9" s="13" t="inlineStr">
        <is>
          <t>Allows context-specific benefit instead of blanket penalization.</t>
        </is>
      </c>
      <c r="I9" s="13" t="inlineStr">
        <is>
          <t>User-defined benchmark</t>
        </is>
      </c>
    </row>
    <row r="10">
      <c r="A10" s="14" t="inlineStr">
        <is>
          <t>MTZ_02</t>
        </is>
      </c>
      <c r="B10" s="14" t="inlineStr">
        <is>
          <t>Metronidazole</t>
        </is>
      </c>
      <c r="C10" s="13" t="inlineStr">
        <is>
          <t>risk_balance</t>
        </is>
      </c>
      <c r="D10" s="13" t="inlineStr">
        <is>
          <t>Ecological-risk channel</t>
        </is>
      </c>
      <c r="E10" s="13" t="inlineStr">
        <is>
          <t>Global profile</t>
        </is>
      </c>
      <c r="F10" s="13" t="inlineStr">
        <is>
          <t>Ecological disruption / risk penalties should remain visible alongside any benefit.</t>
        </is>
      </c>
      <c r="G10" s="14" t="inlineStr">
        <is>
          <t>High</t>
        </is>
      </c>
      <c r="H10" s="13" t="inlineStr">
        <is>
          <t>Validates risk-benefit tradeoff logic.</t>
        </is>
      </c>
      <c r="I10" s="13" t="inlineStr">
        <is>
          <t>User-defined benchmark</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0"/>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8" customWidth="1" min="3" max="3"/>
    <col width="14" customWidth="1" min="4" max="4"/>
    <col width="18" customWidth="1" min="5" max="5"/>
    <col width="20" customWidth="1" min="6" max="6"/>
    <col width="18" customWidth="1" min="7" max="7"/>
    <col width="12" customWidth="1" min="8" max="8"/>
    <col width="12" customWidth="1" min="9" max="9"/>
    <col width="28" customWidth="1" min="10" max="10"/>
    <col width="28" customWidth="1" min="11" max="11"/>
    <col width="28" customWidth="1" min="12" max="12"/>
  </cols>
  <sheetData>
    <row r="1">
      <c r="A1" s="11" t="inlineStr">
        <is>
          <t>assertion_id</t>
        </is>
      </c>
      <c r="B1" s="11" t="inlineStr">
        <is>
          <t>Drug</t>
        </is>
      </c>
      <c r="C1" s="11" t="inlineStr">
        <is>
          <t>Model version</t>
        </is>
      </c>
      <c r="D1" s="11" t="inlineStr">
        <is>
          <t>Run date</t>
        </is>
      </c>
      <c r="E1" s="11" t="inlineStr">
        <is>
          <t>Raw evidence</t>
        </is>
      </c>
      <c r="F1" s="11" t="inlineStr">
        <is>
          <t>Mechanism evidence</t>
        </is>
      </c>
      <c r="G1" s="11" t="inlineStr">
        <is>
          <t>Final evidence</t>
        </is>
      </c>
      <c r="H1" s="11" t="inlineStr">
        <is>
          <t>Status</t>
        </is>
      </c>
      <c r="I1" s="11" t="inlineStr">
        <is>
          <t>Confidence</t>
        </is>
      </c>
      <c r="J1" s="11" t="inlineStr">
        <is>
          <t>Key supporting output</t>
        </is>
      </c>
      <c r="K1" s="11" t="inlineStr">
        <is>
          <t>Key conflicting output</t>
        </is>
      </c>
      <c r="L1" s="11" t="inlineStr">
        <is>
          <t>Reviewer notes</t>
        </is>
      </c>
    </row>
    <row r="2">
      <c r="A2" s="14" t="inlineStr">
        <is>
          <t>RFX_01</t>
        </is>
      </c>
      <c r="B2" s="14" t="inlineStr">
        <is>
          <t>Rifaximin</t>
        </is>
      </c>
      <c r="C2" s="15" t="inlineStr">
        <is>
          <t>mechanism_layer_v1 + fusion_compare(raw/mechanism/0.3_0.7) + drug_profile_gating_v1</t>
        </is>
      </c>
      <c r="D2" s="15" t="inlineStr">
        <is>
          <t>2026-04-14</t>
        </is>
      </c>
      <c r="E2" s="15" t="inlineStr">
        <is>
          <t>raw: IBS=9, CD=5, CRC=7, IBD=None, Abscess=3</t>
        </is>
      </c>
      <c r="F2" s="15" t="inlineStr">
        <is>
          <t>mechanism: IBS=2, CD=9, CRC=10, IBD=None, Abscess=6</t>
        </is>
      </c>
      <c r="G2" s="15" t="inlineStr">
        <is>
          <t>final: IBS=5, CD=8, CRC=10, IBD=None, Abscess=3</t>
        </is>
      </c>
      <c r="H2" s="15" t="inlineStr">
        <is>
          <t>PASS</t>
        </is>
      </c>
      <c r="I2" s="15" t="inlineStr">
        <is>
          <t>High</t>
        </is>
      </c>
      <c r="J2" s="15" t="inlineStr">
        <is>
          <t>IBS rank improved 9-&gt;5 and better than CD(8)</t>
        </is>
      </c>
      <c r="K2" s="15" t="inlineStr"/>
      <c r="L2" s="15" t="inlineStr">
        <is>
          <t>High: prioritize factual IBS-D alignment over score movement.</t>
        </is>
      </c>
    </row>
    <row r="3">
      <c r="A3" s="14" t="inlineStr">
        <is>
          <t>RFX_02</t>
        </is>
      </c>
      <c r="B3" s="14" t="inlineStr">
        <is>
          <t>Rifaximin</t>
        </is>
      </c>
      <c r="C3" s="15" t="inlineStr">
        <is>
          <t>mechanism_layer_v1 + fusion_compare(raw/mechanism/0.3_0.7) + drug_profile_gating_v1</t>
        </is>
      </c>
      <c r="D3" s="15" t="inlineStr">
        <is>
          <t>2026-04-14</t>
        </is>
      </c>
      <c r="E3" s="15" t="inlineStr">
        <is>
          <t>butyrate strong_inhibit=1/5; inhibit_count=68</t>
        </is>
      </c>
      <c r="F3" s="15" t="inlineStr">
        <is>
          <t>mechanism top3 butyrate_support=0.0000</t>
        </is>
      </c>
      <c r="G3" s="15" t="inlineStr">
        <is>
          <t>final top3 butyrate_support=0.0000</t>
        </is>
      </c>
      <c r="H3" s="15" t="inlineStr">
        <is>
          <t>PASS</t>
        </is>
      </c>
      <c r="I3" s="15" t="inlineStr">
        <is>
          <t>High</t>
        </is>
      </c>
      <c r="J3" s="15" t="inlineStr">
        <is>
          <t>core butyrate strong inhibit=1/5</t>
        </is>
      </c>
      <c r="K3" s="15" t="inlineStr"/>
      <c r="L3" s="15" t="inlineStr">
        <is>
          <t>Guardrail focuses on core taxa-level evidence, not only disease ranks.</t>
        </is>
      </c>
    </row>
    <row r="4">
      <c r="A4" s="14" t="inlineStr">
        <is>
          <t>RFX_03</t>
        </is>
      </c>
      <c r="B4" s="14" t="inlineStr">
        <is>
          <t>Rifaximin</t>
        </is>
      </c>
      <c r="C4" s="15" t="inlineStr">
        <is>
          <t>mechanism_layer_v1 + fusion_compare(raw/mechanism/0.3_0.7) + drug_profile_gating_v1</t>
        </is>
      </c>
      <c r="D4" s="15" t="inlineStr">
        <is>
          <t>2026-04-14</t>
        </is>
      </c>
      <c r="E4" s="15" t="inlineStr">
        <is>
          <t>step1_counts={'inhibit': 68, 'no_effect': 15}, mean_inhibit_prob=0.6985674612048193</t>
        </is>
      </c>
      <c r="F4" s="15" t="inlineStr">
        <is>
          <t>mechanism risk(top3): pro/toxin/path=(0.006102056506843533, 0.0, 0.0)</t>
        </is>
      </c>
      <c r="G4" s="15" t="inlineStr">
        <is>
          <t>final risk(top3): pro/toxin/path=(0.016546556301235135, 0.0, 0.0), profile=eubiotic_modulator, eco=0.290</t>
        </is>
      </c>
      <c r="H4" s="15" t="inlineStr">
        <is>
          <t>PARTIAL</t>
        </is>
      </c>
      <c r="I4" s="15" t="inlineStr">
        <is>
          <t>Medium</t>
        </is>
      </c>
      <c r="J4" s="15" t="inlineStr">
        <is>
          <t>profile=eubiotic_modulator, inhibit_fraction=0.82, eco_score=0.29</t>
        </is>
      </c>
      <c r="K4" s="15" t="inlineStr">
        <is>
          <t>profile 已注入，但生态扰动仍偏高</t>
        </is>
      </c>
      <c r="L4" s="15" t="inlineStr">
        <is>
          <t>Uses explicit drug_profile + ecological_risk evidence after gating update.</t>
        </is>
      </c>
    </row>
    <row r="5">
      <c r="A5" s="14" t="inlineStr">
        <is>
          <t>VAN_01</t>
        </is>
      </c>
      <c r="B5" s="14" t="inlineStr">
        <is>
          <t>Vancomycin</t>
        </is>
      </c>
      <c r="C5" s="15" t="inlineStr">
        <is>
          <t>mechanism_layer_v1 + fusion_compare(raw/mechanism/0.3_0.7) + drug_profile_gating_v1</t>
        </is>
      </c>
      <c r="D5" s="15" t="inlineStr">
        <is>
          <t>2026-04-14</t>
        </is>
      </c>
      <c r="E5" s="15" t="inlineStr">
        <is>
          <t>raw high_benefit_count=5, top1=肛周脓肿（Anorectal Abscess）</t>
        </is>
      </c>
      <c r="F5" s="15" t="inlineStr">
        <is>
          <t>mech high_benefit_count=7, risk(top3)=(0.0, 0.0, 0.0)</t>
        </is>
      </c>
      <c r="G5" s="15" t="inlineStr">
        <is>
          <t>final high_benefit_count=8, risk(top3)=(0.04217953392270483, 0.006476954974483567, 0.0065768463742494), inhibit_fraction=0.42</t>
        </is>
      </c>
      <c r="H5" s="15" t="inlineStr">
        <is>
          <t>PARTIAL</t>
        </is>
      </c>
      <c r="I5" s="15" t="inlineStr">
        <is>
          <t>Medium</t>
        </is>
      </c>
      <c r="J5" s="15" t="inlineStr">
        <is>
          <t>high_benefit_count=8, inhibit_fraction=0.42</t>
        </is>
      </c>
      <c r="K5" s="15" t="inlineStr">
        <is>
          <t>risk channel weak in final(top3 pro+tox+path=0.0552)</t>
        </is>
      </c>
      <c r="L5" s="15" t="inlineStr">
        <is>
          <t>Evaluated with the user-corrected Vancomycin SMILES (2026-04-14).</t>
        </is>
      </c>
    </row>
    <row r="6">
      <c r="A6" s="14" t="inlineStr">
        <is>
          <t>VAN_02</t>
        </is>
      </c>
      <c r="B6" s="14" t="inlineStr">
        <is>
          <t>Vancomycin</t>
        </is>
      </c>
      <c r="C6" s="15" t="inlineStr">
        <is>
          <t>mechanism_layer_v1 + fusion_compare(raw/mechanism/0.3_0.7) + drug_profile_gating_v1</t>
        </is>
      </c>
      <c r="D6" s="15" t="inlineStr">
        <is>
          <t>2026-04-14</t>
        </is>
      </c>
      <c r="E6" s="15" t="inlineStr">
        <is>
          <t>raw: IBS=7, CD=10, CRC=None, IBD=6, Abscess=1</t>
        </is>
      </c>
      <c r="F6" s="15" t="inlineStr">
        <is>
          <t>mechanism: IBS=1, CD=10, CRC=None, IBD=7, Abscess=8</t>
        </is>
      </c>
      <c r="G6" s="15" t="inlineStr">
        <is>
          <t>final: IBS=4, CD=10, CRC=None, IBD=7, Abscess=8</t>
        </is>
      </c>
      <c r="H6" s="15" t="inlineStr">
        <is>
          <t>PASS</t>
        </is>
      </c>
      <c r="I6" s="15" t="inlineStr">
        <is>
          <t>High</t>
        </is>
      </c>
      <c r="J6" s="15" t="inlineStr">
        <is>
          <t>CD rank=10, score=0.0561</t>
        </is>
      </c>
      <c r="K6" s="15" t="inlineStr"/>
      <c r="L6" s="15" t="inlineStr">
        <is>
          <t>Disease-specific guardrail should be validated with CD-present panel in future runs.</t>
        </is>
      </c>
    </row>
    <row r="7">
      <c r="A7" s="14" t="inlineStr">
        <is>
          <t>LUB_01</t>
        </is>
      </c>
      <c r="B7" s="14" t="inlineStr">
        <is>
          <t>Lubiprostone</t>
        </is>
      </c>
      <c r="C7" s="15" t="inlineStr">
        <is>
          <t>mechanism_layer_v1 + fusion_compare(raw/mechanism/0.3_0.7) + drug_profile_gating_v1</t>
        </is>
      </c>
      <c r="D7" s="15" t="inlineStr">
        <is>
          <t>2026-04-14</t>
        </is>
      </c>
      <c r="E7" s="15" t="inlineStr">
        <is>
          <t>raw inhibit_fraction=0.00, rank(Constipation)=5</t>
        </is>
      </c>
      <c r="F7" s="15" t="inlineStr">
        <is>
          <t>mech barrier(top3)=0.0024, pro+tox(top3)=0.0000</t>
        </is>
      </c>
      <c r="G7" s="15" t="inlineStr">
        <is>
          <t>final inhibit_fraction=0.00, rank(Constipation)=1, profile=host_secretagogue</t>
        </is>
      </c>
      <c r="H7" s="15" t="inlineStr">
        <is>
          <t>PASS</t>
        </is>
      </c>
      <c r="I7" s="15" t="inlineStr">
        <is>
          <t>High</t>
        </is>
      </c>
      <c r="J7" s="15" t="inlineStr">
        <is>
          <t>profile=host_secretagogue, inhibit_fraction=0.00, constipation_rank=1</t>
        </is>
      </c>
      <c r="K7" s="15" t="inlineStr"/>
      <c r="L7" s="15" t="inlineStr">
        <is>
          <t>Host-pathway identity currently inferred indirectly from weak direct-microbe perturbation.</t>
        </is>
      </c>
    </row>
    <row r="8">
      <c r="A8" s="14" t="inlineStr">
        <is>
          <t>LUB_02</t>
        </is>
      </c>
      <c r="B8" s="14" t="inlineStr">
        <is>
          <t>Lubiprostone</t>
        </is>
      </c>
      <c r="C8" s="15" t="inlineStr">
        <is>
          <t>mechanism_layer_v1 + fusion_compare(raw/mechanism/0.3_0.7) + drug_profile_gating_v1</t>
        </is>
      </c>
      <c r="D8" s="15" t="inlineStr">
        <is>
          <t>2026-04-14</t>
        </is>
      </c>
      <c r="E8" s="15" t="inlineStr">
        <is>
          <t>step1_counts={'no_effect': 83}</t>
        </is>
      </c>
      <c r="F8" s="15" t="inlineStr">
        <is>
          <t>mechanism top3 butyrate/barrier=0.0000/0.0024</t>
        </is>
      </c>
      <c r="G8" s="15" t="inlineStr">
        <is>
          <t>final inhibit_fraction=0.00, inhibit&gt;=0.7 count=0</t>
        </is>
      </c>
      <c r="H8" s="15" t="inlineStr">
        <is>
          <t>PASS</t>
        </is>
      </c>
      <c r="I8" s="15" t="inlineStr">
        <is>
          <t>High</t>
        </is>
      </c>
      <c r="J8" s="15" t="inlineStr">
        <is>
          <t>inhibit_fraction=0.00, inhibit&gt;=0.7 count=0</t>
        </is>
      </c>
      <c r="K8" s="15" t="inlineStr"/>
      <c r="L8" s="15" t="inlineStr">
        <is>
          <t>Guardrail checks whether explanation is dominated by antimicrobial channel.</t>
        </is>
      </c>
    </row>
    <row r="9">
      <c r="A9" s="14" t="inlineStr">
        <is>
          <t>MTZ_01</t>
        </is>
      </c>
      <c r="B9" s="14" t="inlineStr">
        <is>
          <t>Metronidazole</t>
        </is>
      </c>
      <c r="C9" s="15" t="inlineStr">
        <is>
          <t>mechanism_layer_v1 + fusion_compare(raw/mechanism/0.3_0.7) + drug_profile_gating_v1</t>
        </is>
      </c>
      <c r="D9" s="15" t="inlineStr">
        <is>
          <t>2026-04-14</t>
        </is>
      </c>
      <c r="E9" s="15" t="inlineStr">
        <is>
          <t>raw: IBS=9, CD=1, CRC=4, IBD=None, Abscess=3</t>
        </is>
      </c>
      <c r="F9" s="15" t="inlineStr">
        <is>
          <t>mechanism: IBS=3, CD=1, CRC=7, IBD=None, Abscess=6</t>
        </is>
      </c>
      <c r="G9" s="15" t="inlineStr">
        <is>
          <t>final: IBS=7, CD=1, CRC=5, IBD=None, Abscess=4</t>
        </is>
      </c>
      <c r="H9" s="15" t="inlineStr">
        <is>
          <t>PASS</t>
        </is>
      </c>
      <c r="I9" s="15" t="inlineStr">
        <is>
          <t>High</t>
        </is>
      </c>
      <c r="J9" s="15" t="inlineStr">
        <is>
          <t>relevant_disease_best_rank=1</t>
        </is>
      </c>
      <c r="K9" s="15" t="inlineStr"/>
      <c r="L9" s="15" t="inlineStr">
        <is>
          <t>Contextual benefit judged on infection/inflammation subset, not global average score.</t>
        </is>
      </c>
    </row>
    <row r="10">
      <c r="A10" s="14" t="inlineStr">
        <is>
          <t>MTZ_02</t>
        </is>
      </c>
      <c r="B10" s="14" t="inlineStr">
        <is>
          <t>Metronidazole</t>
        </is>
      </c>
      <c r="C10" s="15" t="inlineStr">
        <is>
          <t>mechanism_layer_v1 + fusion_compare(raw/mechanism/0.3_0.7) + drug_profile_gating_v1</t>
        </is>
      </c>
      <c r="D10" s="15" t="inlineStr">
        <is>
          <t>2026-04-14</t>
        </is>
      </c>
      <c r="E10" s="15" t="inlineStr">
        <is>
          <t>step1_counts={'inhibit': 49, 'no_effect': 34}, inhibit_fraction=0.59</t>
        </is>
      </c>
      <c r="F10" s="15" t="inlineStr">
        <is>
          <t>mechanism risk(top3)=(0.003702492756855734, 0.0018285542372780666, 0.0024380723163707667)</t>
        </is>
      </c>
      <c r="G10" s="15" t="inlineStr">
        <is>
          <t>final risk(top3)=(0.003702492756855734, 0.0018285542372780666, 0.0024380723163707667)</t>
        </is>
      </c>
      <c r="H10" s="15" t="inlineStr">
        <is>
          <t>PARTIAL</t>
        </is>
      </c>
      <c r="I10" s="15" t="inlineStr">
        <is>
          <t>Medium</t>
        </is>
      </c>
      <c r="J10" s="15" t="inlineStr">
        <is>
          <t>raw ecological disruption visible (inhibit_fraction=0.59)</t>
        </is>
      </c>
      <c r="K10" s="15" t="inlineStr">
        <is>
          <t>mechanism risk channel weak (top3 sum=0.0080)</t>
        </is>
      </c>
      <c r="L10" s="15" t="inlineStr">
        <is>
          <t>Risk-benefit balance requires explicit risk channel calibration in mechanism layer.</t>
        </is>
      </c>
    </row>
  </sheetData>
  <dataValidations count="2">
    <dataValidation sqref="H2:H50" showDropDown="0" showInputMessage="0" showErrorMessage="0" allowBlank="1" type="list">
      <formula1>"PASS,PARTIAL,FAIL,NA"</formula1>
    </dataValidation>
    <dataValidation sqref="I2:I50" showDropDown="0" showInputMessage="0" showErrorMessage="0" allowBlank="1" type="list">
      <formula1>"High,Medium,Low"</formula1>
    </dataValidation>
  </dataValidation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6" customWidth="1" min="1" max="1"/>
    <col width="42" customWidth="1" min="2" max="2"/>
  </cols>
  <sheetData>
    <row r="1">
      <c r="A1" s="16" t="inlineStr">
        <is>
          <t>Sanity Benchmark Summary</t>
        </is>
      </c>
    </row>
    <row r="2"/>
    <row r="3">
      <c r="A3" s="17" t="inlineStr">
        <is>
          <t>Metric</t>
        </is>
      </c>
      <c r="B3" s="17" t="inlineStr">
        <is>
          <t>Value</t>
        </is>
      </c>
    </row>
    <row r="4">
      <c r="A4" s="14" t="inlineStr">
        <is>
          <t>Total assertions</t>
        </is>
      </c>
      <c r="B4" s="18" t="n">
        <v>9</v>
      </c>
    </row>
    <row r="5">
      <c r="A5" s="14" t="inlineStr">
        <is>
          <t>PASS</t>
        </is>
      </c>
      <c r="B5" s="18" t="n">
        <v>6</v>
      </c>
    </row>
    <row r="6">
      <c r="A6" s="14" t="inlineStr">
        <is>
          <t>PARTIAL</t>
        </is>
      </c>
      <c r="B6" s="18" t="n">
        <v>3</v>
      </c>
    </row>
    <row r="7">
      <c r="A7" s="14" t="inlineStr">
        <is>
          <t>FAIL</t>
        </is>
      </c>
      <c r="B7" s="18" t="n">
        <v>0</v>
      </c>
    </row>
    <row r="8">
      <c r="A8" s="14" t="inlineStr">
        <is>
          <t>NA</t>
        </is>
      </c>
      <c r="B8" s="18">
        <f>COUNTIF(Results!H2:H1000,"NA")</f>
        <v/>
      </c>
    </row>
    <row r="9">
      <c r="A9" s="14" t="inlineStr">
        <is>
          <t>Pass rate</t>
        </is>
      </c>
      <c r="B9" s="19" t="inlineStr">
        <is>
          <t>66.7%</t>
        </is>
      </c>
    </row>
    <row r="10">
      <c r="A10" s="20" t="n"/>
      <c r="B10" s="21" t="n"/>
    </row>
    <row r="11">
      <c r="A11" s="14" t="inlineStr">
        <is>
          <t>High-severity failures</t>
        </is>
      </c>
      <c r="B11" s="18" t="n">
        <v>0</v>
      </c>
    </row>
    <row r="12">
      <c r="A12" s="14" t="inlineStr">
        <is>
          <t>High-severity partials</t>
        </is>
      </c>
      <c r="B12" s="18" t="n">
        <v>2</v>
      </c>
    </row>
    <row r="13"/>
    <row r="14">
      <c r="A14" s="22" t="inlineStr">
        <is>
          <t>Interpretation</t>
        </is>
      </c>
      <c r="B14" s="23" t="inlineStr">
        <is>
          <t>Use this tab to compare model versions. A mechanism update should reduce high-severity failures on the fixed benchmark set.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cols>
    <col width="110" customWidth="1" min="1" max="1"/>
  </cols>
  <sheetData>
    <row r="1">
      <c r="A1" s="24" t="inlineStr">
        <is>
          <t>Suggested prompt snippet for Codex</t>
        </is>
      </c>
    </row>
    <row r="3">
      <c r="A3" s="22" t="inlineStr">
        <is>
          <t>Paste into Codex:</t>
        </is>
      </c>
    </row>
    <row r="4">
      <c r="A4" s="23" t="inlineStr">
        <is>
          <t>Use the Assertions sheet as a fixed case-based sanity benchmark. For each assertion, export one result row to the Results sheet (or CSV with the same schema) including raw evidence, mechanism evidence, final evidence, status, confidence, and concise supporting/conflicting output. Judge success by factual alignment with the benchmark cases, not only by whether disease ranks change.</t>
        </is>
      </c>
    </row>
    <row r="6">
      <c r="A6" s="22" t="inlineStr">
        <is>
          <t>Optional machine-readable fields to add later</t>
        </is>
      </c>
    </row>
    <row r="7">
      <c r="A7" s="23" t="inlineStr">
        <is>
          <t>expected_rank_relation</t>
        </is>
      </c>
    </row>
    <row r="8">
      <c r="A8" s="23" t="inlineStr">
        <is>
          <t>max_allowed_butyrate_harm</t>
        </is>
      </c>
    </row>
    <row r="9">
      <c r="A9" s="23" t="inlineStr">
        <is>
          <t>required_ecology_profile</t>
        </is>
      </c>
    </row>
    <row r="10">
      <c r="A10" s="23" t="inlineStr">
        <is>
          <t>must_show_risk_penalty</t>
        </is>
      </c>
    </row>
    <row r="11">
      <c r="A11" s="23" t="inlineStr">
        <is>
          <t>disease_specific_weighting_used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2026-04-14T08:46:38Z</dcterms:created>
  <dcterms:modified xsi:type="dcterms:W3CDTF">2026-04-14T12:12:17Z</dcterms:modified>
</cp:coreProperties>
</file>